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1" l="1"/>
  <c r="A34" i="1" l="1"/>
  <c r="A22" i="1"/>
  <c r="A19" i="1"/>
  <c r="A3" i="1"/>
  <c r="K50" i="1" l="1"/>
  <c r="K49" i="1"/>
  <c r="K48" i="1"/>
  <c r="K47" i="1"/>
  <c r="K46" i="1"/>
  <c r="E44" i="1"/>
  <c r="K44" i="1" s="1"/>
  <c r="E43" i="1"/>
  <c r="K43" i="1" s="1"/>
  <c r="E42" i="1"/>
  <c r="K42" i="1" s="1"/>
  <c r="K38" i="1"/>
  <c r="K33" i="1"/>
  <c r="K32" i="1"/>
  <c r="K31" i="1"/>
  <c r="K30" i="1"/>
  <c r="K29" i="1"/>
  <c r="K28" i="1"/>
  <c r="E27" i="1"/>
  <c r="K27" i="1" s="1"/>
  <c r="E26" i="1"/>
  <c r="K26" i="1" s="1"/>
  <c r="K21" i="1"/>
  <c r="K20" i="1"/>
  <c r="K18" i="1"/>
  <c r="K17" i="1"/>
  <c r="K16" i="1"/>
  <c r="K15" i="1"/>
  <c r="K14" i="1"/>
  <c r="K13" i="1"/>
  <c r="K12" i="1"/>
  <c r="E11" i="1"/>
  <c r="K11" i="1" s="1"/>
  <c r="K10" i="1"/>
  <c r="K4" i="1"/>
  <c r="K9" i="1"/>
  <c r="K8" i="1"/>
  <c r="K7" i="1"/>
  <c r="K6" i="1"/>
  <c r="K5" i="1"/>
  <c r="K3" i="1" l="1"/>
  <c r="K19" i="1"/>
  <c r="K22" i="1"/>
  <c r="K34" i="1"/>
</calcChain>
</file>

<file path=xl/sharedStrings.xml><?xml version="1.0" encoding="utf-8"?>
<sst xmlns="http://schemas.openxmlformats.org/spreadsheetml/2006/main" count="154" uniqueCount="96">
  <si>
    <t>stt</t>
  </si>
  <si>
    <t>tên sản phẩm</t>
  </si>
  <si>
    <t>đơn vị</t>
  </si>
  <si>
    <t>dài</t>
  </si>
  <si>
    <t>rộng</t>
  </si>
  <si>
    <t>cao</t>
  </si>
  <si>
    <t>ghi chú</t>
  </si>
  <si>
    <t>đơn vị 
(vnd)</t>
  </si>
  <si>
    <t>thành tiền 
(vnd)</t>
  </si>
  <si>
    <t>kích thước hình học 
(mm)</t>
  </si>
  <si>
    <t>khối 
lượng</t>
  </si>
  <si>
    <t>phòng khách</t>
  </si>
  <si>
    <t>ghế bench</t>
  </si>
  <si>
    <t>m2</t>
  </si>
  <si>
    <t>kệ tivi</t>
  </si>
  <si>
    <t>bàn decor</t>
  </si>
  <si>
    <t>giường ngủ</t>
  </si>
  <si>
    <t>tủ giầy</t>
  </si>
  <si>
    <t>tủ decor</t>
  </si>
  <si>
    <t>mô tả vật liệu</t>
  </si>
  <si>
    <t>ký hiệu</t>
  </si>
  <si>
    <t>kệ decor phòng khách</t>
  </si>
  <si>
    <t>khung gỗ sồi kết hợp ván MDF vneer vân sồi, sơn 
Inchem cao cấp mầu sắc theo mẫu chốt</t>
  </si>
  <si>
    <t>md</t>
  </si>
  <si>
    <t>TD</t>
  </si>
  <si>
    <t>bản lề giảm chấn</t>
  </si>
  <si>
    <t xml:space="preserve"> bản lề hafele 304SUS</t>
  </si>
  <si>
    <t>cái</t>
  </si>
  <si>
    <t>vách decor tường</t>
  </si>
  <si>
    <t>gỗ MDF lõi xanh chống ẩm Thái lan, sơn bệt inchem 
cao cấp</t>
  </si>
  <si>
    <t>gỗ ván mặt vneer vân sồi, cốt xanh MDF chống ẩm 
Thái Lan, sơn phủ inchem cao cấp</t>
  </si>
  <si>
    <t>bàn gỗ sồi, sơn inchem cao cấp</t>
  </si>
  <si>
    <t>bộ sofa bàn trà</t>
  </si>
  <si>
    <t>gỗ sồi, sơn Inchem cao cấp, mặt đệm ghế bọc nỉ, 
đệm chống xẹp</t>
  </si>
  <si>
    <t>bộ</t>
  </si>
  <si>
    <t>khung vách trang trí</t>
  </si>
  <si>
    <t>vách nan gỗ sồi sơn Inchem cao cấp</t>
  </si>
  <si>
    <t>vách trang trí gián giấy giõ</t>
  </si>
  <si>
    <t>vách phẳng 2 mặt gián giấy giõ 2 mặt, tấm vách MDF 
phủ melamine cốt xanh Thái lan. Giấy gián shoji nhập khẩu nhật bản</t>
  </si>
  <si>
    <t>vách ngăn phòng bà và phòng khách</t>
  </si>
  <si>
    <t>vách cnc gỗ vneer sơn phủ inchem cao cấp, cốt gỗ 
ghép thanh gỗ tự nhiên kết hợp hệ khung bo, khung xương</t>
  </si>
  <si>
    <t>gián giấy gián vách trang trí</t>
  </si>
  <si>
    <t>giấy in theo phối cảnh</t>
  </si>
  <si>
    <t>vách khung nhôm fix phòng bà</t>
  </si>
  <si>
    <t>vách nhôm cố định màu vân gỗ, kính temple dày 8mm 
mờ</t>
  </si>
  <si>
    <t>cửa lùa khung nhôm 38x25 phòng bà</t>
  </si>
  <si>
    <t>cửa nhôm lùa kính temple</t>
  </si>
  <si>
    <t>bộ phụ kiện trượt cửa phòng bà</t>
  </si>
  <si>
    <t>tủ giày thùng gỗ MDF lõi xanh chống ẩm thái lan phủ melamine, cánh gỗ vneer sơn inchem cao cấp</t>
  </si>
  <si>
    <t>bản lề hafele 304SUS</t>
  </si>
  <si>
    <t>cánh tủ bếp dưới</t>
  </si>
  <si>
    <t>cánh gỗ vneer gỗ sồi cốt MDF lõi xanh chống ẩm 
thái lan sơn phủ inchem cao cấp</t>
  </si>
  <si>
    <t>cánh tủ bếp trên</t>
  </si>
  <si>
    <t>giường gỗ sồi</t>
  </si>
  <si>
    <t xml:space="preserve">giường gỗ sồi, sơn phủ inchem cao cấp </t>
  </si>
  <si>
    <t>tad đầu giường</t>
  </si>
  <si>
    <t>khung gỗ vneer kết hợp gỗ sồi sơn phủ inchem 
cao cấp</t>
  </si>
  <si>
    <t>bộ bàn, ghế trang điểm</t>
  </si>
  <si>
    <t>tủ đồ gập, kho</t>
  </si>
  <si>
    <t>gỗ vneer vân sồi cố MDF lõi xanh chống ẩm thái lan 
sơn Inchem cao cấp</t>
  </si>
  <si>
    <t>tủ áo</t>
  </si>
  <si>
    <t>gỗ vneer vân sồi cố MDF lõi xanh chống ẩm thái lan 
sơn Inchem cao cấp, mặt bọc đệm nỉ cao cấp</t>
  </si>
  <si>
    <t>gỗ vneer vân sồi cố MDF lõi xanh chống ẩm thái lan sơn inchem cao cấp</t>
  </si>
  <si>
    <t xml:space="preserve">trần gỗ </t>
  </si>
  <si>
    <t>trần gỗ sồi, sơn inchem ghép dọc</t>
  </si>
  <si>
    <t>vách lam sóng đầu giường</t>
  </si>
  <si>
    <t>Ray giảm chấn</t>
  </si>
  <si>
    <t>ray giảm chấn hafele</t>
  </si>
  <si>
    <t>phòng con trai</t>
  </si>
  <si>
    <t>gỗ MDF lõi xanh chống ẩm Thái lan phủ melamine màu sắc chỉ định</t>
  </si>
  <si>
    <t>ngăn kéo thông minh</t>
  </si>
  <si>
    <t>bọc đệm đầu giường</t>
  </si>
  <si>
    <t>đệm nỉ cao cấp</t>
  </si>
  <si>
    <t>tủ đồ gập</t>
  </si>
  <si>
    <t>gỗ MDF lõi xanh chống ẩm Thái lan phủ melamine 
màu sắc chỉ định</t>
  </si>
  <si>
    <t>bàn học 1</t>
  </si>
  <si>
    <t>bàn học 2</t>
  </si>
  <si>
    <t xml:space="preserve">gỗ MDF lõi xanh chống ẩm Thái lan phủ melamine màu sắc chỉ định
</t>
  </si>
  <si>
    <t>giá sách</t>
  </si>
  <si>
    <t>đợt treo âm dương, gỗ MDF lõi xanh chống ẩm 
thái lan phủ melamine mầu sắc chỉ định</t>
  </si>
  <si>
    <t>hệ</t>
  </si>
  <si>
    <t>tủ treo áo dưới</t>
  </si>
  <si>
    <t>gỗ MDF lõi xanh chống ẩm thái lan phủ melamine 
màu sắc chỉ định</t>
  </si>
  <si>
    <t>TA1</t>
  </si>
  <si>
    <t>hệ chớp tên tủ áo</t>
  </si>
  <si>
    <t>DA</t>
  </si>
  <si>
    <t xml:space="preserve">gỗ MDF lõi xanh chống ẩm thái lan phủ melamine 
màu sắc chỉ định
</t>
  </si>
  <si>
    <t>kệ trang trí khu cửa sổ</t>
  </si>
  <si>
    <t>TA2</t>
  </si>
  <si>
    <t>tủ áo 2</t>
  </si>
  <si>
    <t xml:space="preserve">
gỗ MDF lõi xanh chống ẩm thái lan phủ melamine 
màu sắc chỉ định</t>
  </si>
  <si>
    <t>TT2</t>
  </si>
  <si>
    <t>hệ giường 2</t>
  </si>
  <si>
    <t>phòng bếp</t>
  </si>
  <si>
    <t>phòng ngủ maste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</si>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</sst>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_(* #,##0_);_(* \(#,##0\);_(* &quot;-&quot;??_);_(@_)"/>
    <numFmt numFmtId="166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13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582025" y="3324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abSelected="1" topLeftCell="A34" workbookViewId="0">
      <selection activeCell="A51" sqref="A51:XFD51"/>
    </sheetView>
  </sheetViews>
  <sheetFormatPr defaultRowHeight="15" x14ac:dyDescent="0.25"/>
  <cols>
    <col min="1" max="1" width="4.42578125" customWidth="1"/>
    <col min="2" max="2" width="10.140625" customWidth="1"/>
    <col min="3" max="3" width="43" customWidth="1"/>
    <col min="4" max="4" width="48.140625" customWidth="1"/>
    <col min="5" max="5" width="13" customWidth="1"/>
    <col min="7" max="7" width="10.85546875" customWidth="1"/>
    <col min="8" max="8" width="9.7109375" customWidth="1"/>
    <col min="9" max="9" width="9.5703125" customWidth="1"/>
    <col min="10" max="10" width="12.28515625" customWidth="1"/>
    <col min="11" max="11" width="16.7109375" customWidth="1"/>
    <col min="12" max="12" width="11" customWidth="1"/>
    <col min="13" max="13" width="12.5703125" bestFit="1" customWidth="1"/>
  </cols>
  <sheetData>
    <row r="1" spans="1:21" ht="34.5" customHeight="1" x14ac:dyDescent="0.25">
      <c r="A1" s="28" t="s">
        <v>0</v>
      </c>
      <c r="B1" s="28" t="s">
        <v>20</v>
      </c>
      <c r="C1" s="28" t="s">
        <v>1</v>
      </c>
      <c r="D1" s="28" t="s">
        <v>19</v>
      </c>
      <c r="E1" s="30" t="s">
        <v>10</v>
      </c>
      <c r="F1" s="28" t="s">
        <v>2</v>
      </c>
      <c r="G1" s="31" t="s">
        <v>9</v>
      </c>
      <c r="H1" s="32"/>
      <c r="I1" s="33"/>
      <c r="J1" s="30" t="s">
        <v>7</v>
      </c>
      <c r="K1" s="30" t="s">
        <v>8</v>
      </c>
      <c r="L1" s="28" t="s">
        <v>6</v>
      </c>
    </row>
    <row r="2" spans="1:21" ht="29.25" customHeight="1" x14ac:dyDescent="0.25">
      <c r="A2" s="29"/>
      <c r="B2" s="29"/>
      <c r="C2" s="29"/>
      <c r="D2" s="29"/>
      <c r="E2" s="29"/>
      <c r="F2" s="29"/>
      <c r="G2" s="1" t="s">
        <v>3</v>
      </c>
      <c r="H2" s="1" t="s">
        <v>4</v>
      </c>
      <c r="I2" s="1" t="s">
        <v>5</v>
      </c>
      <c r="J2" s="34"/>
      <c r="K2" s="29"/>
      <c r="L2" s="29"/>
    </row>
    <row r="3" spans="1:21" s="2" customFormat="1" x14ac:dyDescent="0.25">
      <c r="A3" s="9" t="str">
        <f>ROMAN(A4)</f>
        <v>I</v>
      </c>
      <c r="B3" s="25" t="s">
        <v>11</v>
      </c>
      <c r="C3" s="26"/>
      <c r="D3" s="26"/>
      <c r="E3" s="26"/>
      <c r="F3" s="26"/>
      <c r="G3" s="26"/>
      <c r="H3" s="26"/>
      <c r="I3" s="26"/>
      <c r="J3" s="27"/>
      <c r="K3" s="10">
        <f>SUM(K4:K18)</f>
        <v>131332070</v>
      </c>
      <c r="L3" s="9"/>
      <c r="M3"/>
      <c r="N3"/>
      <c r="O3"/>
      <c r="P3"/>
      <c r="Q3"/>
      <c r="R3"/>
      <c r="S3"/>
      <c r="T3"/>
    </row>
    <row r="4" spans="1:21" ht="42" customHeight="1" x14ac:dyDescent="0.25">
      <c r="A4" s="4">
        <v>1</v>
      </c>
      <c r="B4" s="4" t="s">
        <v>24</v>
      </c>
      <c r="C4" s="4" t="s">
        <v>21</v>
      </c>
      <c r="D4" s="8" t="s">
        <v>22</v>
      </c>
      <c r="E4" s="11">
        <v>2.0299999999999998</v>
      </c>
      <c r="F4" s="11" t="s">
        <v>23</v>
      </c>
      <c r="G4" s="12">
        <v>2.0299999999999998</v>
      </c>
      <c r="H4" s="11">
        <v>0.4</v>
      </c>
      <c r="I4" s="11">
        <v>1.1000000000000001</v>
      </c>
      <c r="J4" s="7">
        <v>7500000</v>
      </c>
      <c r="K4" s="7">
        <f t="shared" ref="K4:K18" si="0">(J4*E4)</f>
        <v>15224999.999999998</v>
      </c>
      <c r="L4" s="4"/>
    </row>
    <row r="5" spans="1:21" ht="33" customHeight="1" x14ac:dyDescent="0.25">
      <c r="A5" s="4">
        <v>2</v>
      </c>
      <c r="B5" s="4"/>
      <c r="C5" s="4" t="s">
        <v>25</v>
      </c>
      <c r="D5" s="4" t="s">
        <v>26</v>
      </c>
      <c r="E5" s="11">
        <v>8</v>
      </c>
      <c r="F5" s="11" t="s">
        <v>27</v>
      </c>
      <c r="G5" s="11"/>
      <c r="H5" s="11"/>
      <c r="I5" s="11"/>
      <c r="J5" s="7">
        <v>35000</v>
      </c>
      <c r="K5" s="7">
        <f t="shared" si="0"/>
        <v>280000</v>
      </c>
      <c r="L5" s="4"/>
    </row>
    <row r="6" spans="1:21" ht="37.5" customHeight="1" x14ac:dyDescent="0.25">
      <c r="A6" s="4">
        <v>3</v>
      </c>
      <c r="B6" s="4"/>
      <c r="C6" s="4" t="s">
        <v>28</v>
      </c>
      <c r="D6" s="8" t="s">
        <v>29</v>
      </c>
      <c r="E6" s="11">
        <v>10.4</v>
      </c>
      <c r="F6" s="11" t="s">
        <v>13</v>
      </c>
      <c r="G6" s="11">
        <v>5.2</v>
      </c>
      <c r="H6" s="11">
        <v>0.36</v>
      </c>
      <c r="I6" s="11">
        <v>2</v>
      </c>
      <c r="J6" s="7">
        <v>1250000</v>
      </c>
      <c r="K6" s="7">
        <f t="shared" si="0"/>
        <v>13000000</v>
      </c>
      <c r="L6" s="4"/>
    </row>
    <row r="7" spans="1:21" ht="36.75" customHeight="1" x14ac:dyDescent="0.25">
      <c r="A7" s="4">
        <v>4</v>
      </c>
      <c r="B7" s="4"/>
      <c r="C7" s="4" t="s">
        <v>14</v>
      </c>
      <c r="D7" s="8" t="s">
        <v>30</v>
      </c>
      <c r="E7" s="11">
        <v>2</v>
      </c>
      <c r="F7" s="11" t="s">
        <v>23</v>
      </c>
      <c r="G7" s="11">
        <v>2</v>
      </c>
      <c r="H7" s="11">
        <v>0.35</v>
      </c>
      <c r="I7" s="11">
        <v>0.2</v>
      </c>
      <c r="J7" s="7">
        <v>2500000</v>
      </c>
      <c r="K7" s="7">
        <f t="shared" si="0"/>
        <v>5000000</v>
      </c>
      <c r="L7" s="4"/>
    </row>
    <row r="8" spans="1:21" ht="45.75" customHeight="1" x14ac:dyDescent="0.25">
      <c r="A8" s="4">
        <v>5</v>
      </c>
      <c r="B8" s="4"/>
      <c r="C8" s="4" t="s">
        <v>15</v>
      </c>
      <c r="D8" s="4" t="s">
        <v>31</v>
      </c>
      <c r="E8" s="4">
        <v>1</v>
      </c>
      <c r="F8" s="4" t="s">
        <v>27</v>
      </c>
      <c r="G8" s="13"/>
      <c r="H8" s="13"/>
      <c r="I8" s="13"/>
      <c r="J8" s="7">
        <v>2500000</v>
      </c>
      <c r="K8" s="7">
        <f t="shared" si="0"/>
        <v>2500000</v>
      </c>
      <c r="L8" s="4"/>
    </row>
    <row r="9" spans="1:21" ht="34.5" customHeight="1" x14ac:dyDescent="0.25">
      <c r="A9" s="4">
        <v>6</v>
      </c>
      <c r="B9" s="4"/>
      <c r="C9" s="4" t="s">
        <v>32</v>
      </c>
      <c r="D9" s="8" t="s">
        <v>33</v>
      </c>
      <c r="E9" s="4">
        <v>1</v>
      </c>
      <c r="F9" s="4" t="s">
        <v>34</v>
      </c>
      <c r="G9" s="13"/>
      <c r="H9" s="13"/>
      <c r="I9" s="13"/>
      <c r="J9" s="7">
        <v>35000000</v>
      </c>
      <c r="K9" s="7">
        <f t="shared" si="0"/>
        <v>35000000</v>
      </c>
      <c r="L9" s="4"/>
    </row>
    <row r="10" spans="1:21" ht="36" customHeight="1" x14ac:dyDescent="0.25">
      <c r="A10" s="4">
        <v>7</v>
      </c>
      <c r="B10" s="4"/>
      <c r="C10" s="4" t="s">
        <v>35</v>
      </c>
      <c r="D10" s="4" t="s">
        <v>36</v>
      </c>
      <c r="E10" s="4">
        <v>2.4</v>
      </c>
      <c r="F10" s="4" t="s">
        <v>13</v>
      </c>
      <c r="G10" s="14">
        <v>0.5</v>
      </c>
      <c r="H10" s="14">
        <v>0.06</v>
      </c>
      <c r="I10" s="14">
        <v>2.4</v>
      </c>
      <c r="J10" s="6">
        <v>3500000</v>
      </c>
      <c r="K10" s="7">
        <f t="shared" si="0"/>
        <v>8400000</v>
      </c>
      <c r="L10" s="4"/>
    </row>
    <row r="11" spans="1:21" ht="45" x14ac:dyDescent="0.25">
      <c r="A11" s="4">
        <v>8</v>
      </c>
      <c r="B11" s="4"/>
      <c r="C11" s="4" t="s">
        <v>37</v>
      </c>
      <c r="D11" s="8" t="s">
        <v>38</v>
      </c>
      <c r="E11" s="4">
        <f>(I11*G11)</f>
        <v>2.64</v>
      </c>
      <c r="F11" s="4" t="s">
        <v>13</v>
      </c>
      <c r="G11" s="14">
        <v>1.1000000000000001</v>
      </c>
      <c r="H11" s="14">
        <v>0.06</v>
      </c>
      <c r="I11" s="14">
        <v>2.4</v>
      </c>
      <c r="J11" s="6">
        <v>2500000</v>
      </c>
      <c r="K11" s="7">
        <f t="shared" si="0"/>
        <v>6600000</v>
      </c>
      <c r="L11" s="4"/>
    </row>
    <row r="12" spans="1:21" ht="45" x14ac:dyDescent="0.25">
      <c r="A12" s="4">
        <v>9</v>
      </c>
      <c r="B12" s="4"/>
      <c r="C12" s="4" t="s">
        <v>39</v>
      </c>
      <c r="D12" s="8" t="s">
        <v>40</v>
      </c>
      <c r="E12" s="4">
        <v>6.5880000000000001</v>
      </c>
      <c r="F12" s="4" t="s">
        <v>13</v>
      </c>
      <c r="G12" s="14">
        <v>2.75</v>
      </c>
      <c r="H12" s="14">
        <v>0.08</v>
      </c>
      <c r="I12" s="14">
        <v>2.4</v>
      </c>
      <c r="J12" s="6">
        <v>3000000</v>
      </c>
      <c r="K12" s="7">
        <f t="shared" si="0"/>
        <v>19764000</v>
      </c>
      <c r="L12" s="4"/>
    </row>
    <row r="13" spans="1:21" ht="45.75" customHeight="1" x14ac:dyDescent="0.25">
      <c r="A13" s="4">
        <v>10</v>
      </c>
      <c r="B13" s="4"/>
      <c r="C13" s="4" t="s">
        <v>41</v>
      </c>
      <c r="D13" s="4" t="s">
        <v>42</v>
      </c>
      <c r="E13" s="4">
        <v>3.1322999999999999</v>
      </c>
      <c r="F13" s="4" t="s">
        <v>13</v>
      </c>
      <c r="G13" s="13"/>
      <c r="H13" s="13"/>
      <c r="I13" s="13"/>
      <c r="J13" s="6">
        <v>900000</v>
      </c>
      <c r="K13" s="7">
        <f t="shared" si="0"/>
        <v>2819070</v>
      </c>
      <c r="L13" s="4"/>
    </row>
    <row r="14" spans="1:21" ht="45" x14ac:dyDescent="0.25">
      <c r="A14" s="4">
        <v>11</v>
      </c>
      <c r="B14" s="4"/>
      <c r="C14" s="4" t="s">
        <v>43</v>
      </c>
      <c r="D14" s="8" t="s">
        <v>44</v>
      </c>
      <c r="E14" s="4">
        <v>2.5920000000000001</v>
      </c>
      <c r="F14" s="4" t="s">
        <v>13</v>
      </c>
      <c r="G14" s="13"/>
      <c r="H14" s="13"/>
      <c r="I14" s="13"/>
      <c r="J14" s="6">
        <v>3000000</v>
      </c>
      <c r="K14" s="7">
        <f t="shared" si="0"/>
        <v>7776000</v>
      </c>
      <c r="L14" s="4"/>
    </row>
    <row r="15" spans="1:21" ht="45.75" customHeight="1" x14ac:dyDescent="0.25">
      <c r="A15" s="4">
        <v>12</v>
      </c>
      <c r="B15" s="4"/>
      <c r="C15" s="4" t="s">
        <v>45</v>
      </c>
      <c r="D15" s="8" t="s">
        <v>46</v>
      </c>
      <c r="E15" s="15">
        <v>2.6112000000000002</v>
      </c>
      <c r="F15" s="4" t="s">
        <v>13</v>
      </c>
      <c r="G15" s="13"/>
      <c r="H15" s="13"/>
      <c r="I15" s="13"/>
      <c r="J15" s="6">
        <v>2500000</v>
      </c>
      <c r="K15" s="7">
        <f t="shared" si="0"/>
        <v>6528000.0000000009</v>
      </c>
      <c r="L15" s="4"/>
      <c r="U15" s="2"/>
    </row>
    <row r="16" spans="1:21" ht="36.75" customHeight="1" x14ac:dyDescent="0.25">
      <c r="A16" s="4">
        <v>13</v>
      </c>
      <c r="B16" s="4"/>
      <c r="C16" s="4" t="s">
        <v>47</v>
      </c>
      <c r="D16" s="8" t="s">
        <v>47</v>
      </c>
      <c r="E16" s="4">
        <v>1</v>
      </c>
      <c r="F16" s="4" t="s">
        <v>34</v>
      </c>
      <c r="G16" s="13"/>
      <c r="H16" s="13"/>
      <c r="I16" s="13"/>
      <c r="J16" s="6">
        <v>3000000</v>
      </c>
      <c r="K16" s="7">
        <f t="shared" si="0"/>
        <v>3000000</v>
      </c>
      <c r="L16" s="4"/>
    </row>
    <row r="17" spans="1:23" ht="30" x14ac:dyDescent="0.25">
      <c r="A17" s="4">
        <v>14</v>
      </c>
      <c r="B17" s="4"/>
      <c r="C17" s="4" t="s">
        <v>17</v>
      </c>
      <c r="D17" s="8" t="s">
        <v>48</v>
      </c>
      <c r="E17" s="4">
        <v>2.0640000000000001</v>
      </c>
      <c r="F17" s="4" t="s">
        <v>13</v>
      </c>
      <c r="G17" s="13"/>
      <c r="H17" s="13"/>
      <c r="I17" s="13"/>
      <c r="J17" s="6">
        <v>2500000</v>
      </c>
      <c r="K17" s="7">
        <f t="shared" si="0"/>
        <v>5160000</v>
      </c>
      <c r="L17" s="4"/>
    </row>
    <row r="18" spans="1:23" ht="40.5" customHeight="1" x14ac:dyDescent="0.25">
      <c r="A18" s="4">
        <v>15</v>
      </c>
      <c r="B18" s="4"/>
      <c r="C18" s="4" t="s">
        <v>25</v>
      </c>
      <c r="D18" s="4" t="s">
        <v>49</v>
      </c>
      <c r="E18" s="4">
        <v>8</v>
      </c>
      <c r="F18" s="4" t="s">
        <v>27</v>
      </c>
      <c r="G18" s="13"/>
      <c r="H18" s="13"/>
      <c r="I18" s="13"/>
      <c r="J18" s="6">
        <v>35000</v>
      </c>
      <c r="K18" s="7">
        <f t="shared" si="0"/>
        <v>280000</v>
      </c>
      <c r="L18" s="4"/>
    </row>
    <row r="19" spans="1:23" s="2" customFormat="1" x14ac:dyDescent="0.25">
      <c r="A19" s="9" t="str">
        <f>ROMAN(A21)</f>
        <v>II</v>
      </c>
      <c r="B19" s="25" t="s">
        <v>93</v>
      </c>
      <c r="C19" s="26"/>
      <c r="D19" s="26"/>
      <c r="E19" s="26"/>
      <c r="F19" s="26"/>
      <c r="G19" s="26"/>
      <c r="H19" s="26"/>
      <c r="I19" s="26"/>
      <c r="J19" s="27"/>
      <c r="K19" s="10">
        <f>SUM(K20:K21)</f>
        <v>14817960</v>
      </c>
      <c r="L19" s="16"/>
      <c r="M19"/>
      <c r="N19"/>
      <c r="O19"/>
      <c r="P19"/>
      <c r="Q19"/>
      <c r="R19"/>
      <c r="S19"/>
      <c r="T19"/>
      <c r="U19"/>
      <c r="V19"/>
      <c r="W19"/>
    </row>
    <row r="20" spans="1:23" ht="40.5" customHeight="1" x14ac:dyDescent="0.25">
      <c r="A20" s="4">
        <v>1</v>
      </c>
      <c r="B20" s="4"/>
      <c r="C20" s="4" t="s">
        <v>50</v>
      </c>
      <c r="D20" s="8" t="s">
        <v>51</v>
      </c>
      <c r="E20" s="4">
        <v>3.5322</v>
      </c>
      <c r="F20" s="4" t="s">
        <v>13</v>
      </c>
      <c r="G20" s="4"/>
      <c r="H20" s="4"/>
      <c r="I20" s="4"/>
      <c r="J20" s="6">
        <v>1800000</v>
      </c>
      <c r="K20" s="7">
        <f>(J20*E20)</f>
        <v>6357960</v>
      </c>
      <c r="L20" s="4"/>
    </row>
    <row r="21" spans="1:23" ht="50.25" customHeight="1" x14ac:dyDescent="0.25">
      <c r="A21" s="4">
        <v>2</v>
      </c>
      <c r="B21" s="4"/>
      <c r="C21" s="4" t="s">
        <v>52</v>
      </c>
      <c r="D21" s="8" t="s">
        <v>51</v>
      </c>
      <c r="E21" s="4">
        <v>4.7</v>
      </c>
      <c r="F21" s="4" t="s">
        <v>13</v>
      </c>
      <c r="G21" s="4"/>
      <c r="H21" s="4"/>
      <c r="I21" s="4"/>
      <c r="J21" s="6">
        <v>1800000</v>
      </c>
      <c r="K21" s="7">
        <f>(J21*E21)</f>
        <v>8460000</v>
      </c>
      <c r="L21" s="4"/>
    </row>
    <row r="22" spans="1:23" s="2" customFormat="1" x14ac:dyDescent="0.25">
      <c r="A22" s="9" t="str">
        <f>ROMAN(A25)</f>
        <v>III</v>
      </c>
      <c r="B22" s="25" t="s">
        <v>94</v>
      </c>
      <c r="C22" s="26"/>
      <c r="D22" s="26"/>
      <c r="E22" s="26"/>
      <c r="F22" s="26"/>
      <c r="G22" s="26"/>
      <c r="H22" s="26"/>
      <c r="I22" s="26"/>
      <c r="J22" s="27"/>
      <c r="K22" s="17">
        <f>SUM(K23:K33)</f>
        <v>92468580</v>
      </c>
      <c r="L22" s="9"/>
      <c r="M22"/>
      <c r="N22"/>
      <c r="O22"/>
      <c r="P22"/>
      <c r="Q22"/>
      <c r="R22"/>
      <c r="S22"/>
      <c r="T22"/>
      <c r="U22"/>
      <c r="V22"/>
      <c r="W22"/>
    </row>
    <row r="23" spans="1:23" ht="43.5" customHeight="1" x14ac:dyDescent="0.25">
      <c r="A23" s="4">
        <v>1</v>
      </c>
      <c r="B23" s="4"/>
      <c r="C23" s="4" t="s">
        <v>53</v>
      </c>
      <c r="D23" s="4" t="s">
        <v>54</v>
      </c>
      <c r="E23" s="4">
        <v>1</v>
      </c>
      <c r="F23" s="4" t="s">
        <v>27</v>
      </c>
      <c r="G23" s="4">
        <v>2.1459999999999999</v>
      </c>
      <c r="H23" s="4">
        <v>1.8819999999999999</v>
      </c>
      <c r="I23" s="4">
        <v>0.9</v>
      </c>
      <c r="J23" s="6">
        <v>18000000</v>
      </c>
      <c r="K23" s="6">
        <v>18000000</v>
      </c>
      <c r="L23" s="4"/>
    </row>
    <row r="24" spans="1:23" ht="45.75" customHeight="1" x14ac:dyDescent="0.25">
      <c r="A24" s="18">
        <v>2</v>
      </c>
      <c r="B24" s="18"/>
      <c r="C24" s="18" t="s">
        <v>55</v>
      </c>
      <c r="D24" s="19" t="s">
        <v>56</v>
      </c>
      <c r="E24" s="18">
        <v>1</v>
      </c>
      <c r="F24" s="18" t="s">
        <v>27</v>
      </c>
      <c r="G24" s="18">
        <v>0.55000000000000004</v>
      </c>
      <c r="H24" s="20">
        <v>0.5</v>
      </c>
      <c r="I24" s="20">
        <v>0.4</v>
      </c>
      <c r="J24" s="6">
        <v>4000000</v>
      </c>
      <c r="K24" s="6">
        <v>4000000</v>
      </c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3.5" customHeight="1" x14ac:dyDescent="0.25">
      <c r="A25" s="18">
        <v>3</v>
      </c>
      <c r="B25" s="18"/>
      <c r="C25" s="18" t="s">
        <v>57</v>
      </c>
      <c r="D25" s="19" t="s">
        <v>56</v>
      </c>
      <c r="E25" s="18">
        <v>1</v>
      </c>
      <c r="F25" s="18" t="s">
        <v>34</v>
      </c>
      <c r="G25" s="5">
        <v>1.4</v>
      </c>
      <c r="H25" s="18">
        <v>0.55000000000000004</v>
      </c>
      <c r="I25" s="18">
        <v>0.75</v>
      </c>
      <c r="J25" s="6">
        <v>9500000</v>
      </c>
      <c r="K25" s="6">
        <v>9500000</v>
      </c>
      <c r="L25" s="4"/>
    </row>
    <row r="26" spans="1:23" ht="47.25" customHeight="1" x14ac:dyDescent="0.25">
      <c r="A26" s="18">
        <v>4</v>
      </c>
      <c r="B26" s="18"/>
      <c r="C26" s="18" t="s">
        <v>58</v>
      </c>
      <c r="D26" s="19" t="s">
        <v>59</v>
      </c>
      <c r="E26" s="18">
        <f>(G26*I26)</f>
        <v>7.68</v>
      </c>
      <c r="F26" s="18" t="s">
        <v>13</v>
      </c>
      <c r="G26" s="5">
        <v>3.2</v>
      </c>
      <c r="H26" s="18">
        <v>0.43</v>
      </c>
      <c r="I26" s="20">
        <v>2.4</v>
      </c>
      <c r="J26" s="6">
        <v>3000000</v>
      </c>
      <c r="K26" s="7">
        <f t="shared" ref="K26:K33" si="1">(J26*E26)</f>
        <v>23040000</v>
      </c>
      <c r="L26" s="4"/>
    </row>
    <row r="27" spans="1:23" ht="53.25" customHeight="1" x14ac:dyDescent="0.25">
      <c r="A27" s="18">
        <v>5</v>
      </c>
      <c r="B27" s="18"/>
      <c r="C27" s="18" t="s">
        <v>60</v>
      </c>
      <c r="D27" s="19" t="s">
        <v>59</v>
      </c>
      <c r="E27" s="18">
        <f>(I27*G27)</f>
        <v>3.9599999999999995</v>
      </c>
      <c r="F27" s="18" t="s">
        <v>13</v>
      </c>
      <c r="G27" s="4">
        <v>1.65</v>
      </c>
      <c r="H27" s="20">
        <v>0.6</v>
      </c>
      <c r="I27" s="20">
        <v>2.4</v>
      </c>
      <c r="J27" s="6">
        <v>3500000</v>
      </c>
      <c r="K27" s="7">
        <f t="shared" si="1"/>
        <v>13859999.999999998</v>
      </c>
      <c r="L27" s="4"/>
    </row>
    <row r="28" spans="1:23" ht="44.25" customHeight="1" x14ac:dyDescent="0.25">
      <c r="A28" s="18">
        <v>6</v>
      </c>
      <c r="B28" s="18"/>
      <c r="C28" s="18" t="s">
        <v>12</v>
      </c>
      <c r="D28" s="19" t="s">
        <v>61</v>
      </c>
      <c r="E28" s="18">
        <v>2.1869999999999998</v>
      </c>
      <c r="F28" s="18" t="s">
        <v>23</v>
      </c>
      <c r="G28" s="4">
        <v>2.19</v>
      </c>
      <c r="H28" s="4">
        <v>0.55000000000000004</v>
      </c>
      <c r="I28" s="4">
        <v>0.43</v>
      </c>
      <c r="J28" s="6">
        <v>3500000</v>
      </c>
      <c r="K28" s="7">
        <f t="shared" si="1"/>
        <v>7654499.9999999991</v>
      </c>
      <c r="L28" s="4"/>
    </row>
    <row r="29" spans="1:23" ht="48" customHeight="1" x14ac:dyDescent="0.25">
      <c r="A29" s="18">
        <v>7</v>
      </c>
      <c r="B29" s="18"/>
      <c r="C29" s="18" t="s">
        <v>18</v>
      </c>
      <c r="D29" s="19" t="s">
        <v>62</v>
      </c>
      <c r="E29" s="18">
        <v>2</v>
      </c>
      <c r="F29" s="18" t="s">
        <v>27</v>
      </c>
      <c r="G29" s="4"/>
      <c r="H29" s="4"/>
      <c r="I29" s="4"/>
      <c r="J29" s="6">
        <v>3000000</v>
      </c>
      <c r="K29" s="7">
        <f t="shared" si="1"/>
        <v>6000000</v>
      </c>
      <c r="L29" s="4"/>
    </row>
    <row r="30" spans="1:23" ht="41.25" customHeight="1" x14ac:dyDescent="0.25">
      <c r="A30" s="18">
        <v>8</v>
      </c>
      <c r="B30" s="18"/>
      <c r="C30" s="18" t="s">
        <v>63</v>
      </c>
      <c r="D30" s="19" t="s">
        <v>64</v>
      </c>
      <c r="E30" s="18">
        <v>1.7748999999999999</v>
      </c>
      <c r="F30" s="18" t="s">
        <v>13</v>
      </c>
      <c r="G30" s="4">
        <v>0.55000000000000004</v>
      </c>
      <c r="H30" s="4">
        <v>3.23</v>
      </c>
      <c r="I30" s="4"/>
      <c r="J30" s="6">
        <v>1200000</v>
      </c>
      <c r="K30" s="7">
        <f t="shared" si="1"/>
        <v>2129880</v>
      </c>
      <c r="L30" s="4"/>
    </row>
    <row r="31" spans="1:23" ht="39.75" customHeight="1" x14ac:dyDescent="0.25">
      <c r="A31" s="18">
        <v>9</v>
      </c>
      <c r="B31" s="18"/>
      <c r="C31" s="18" t="s">
        <v>65</v>
      </c>
      <c r="D31" s="19" t="s">
        <v>29</v>
      </c>
      <c r="E31" s="18">
        <v>3.5190000000000001</v>
      </c>
      <c r="F31" s="18" t="s">
        <v>13</v>
      </c>
      <c r="G31" s="4">
        <v>3.91</v>
      </c>
      <c r="H31" s="4"/>
      <c r="I31" s="5">
        <v>0.9</v>
      </c>
      <c r="J31" s="6">
        <v>1800000</v>
      </c>
      <c r="K31" s="7">
        <f t="shared" si="1"/>
        <v>6334200</v>
      </c>
      <c r="L31" s="4"/>
    </row>
    <row r="32" spans="1:23" ht="42.75" customHeight="1" x14ac:dyDescent="0.25">
      <c r="A32" s="18">
        <v>10</v>
      </c>
      <c r="B32" s="18"/>
      <c r="C32" s="18" t="s">
        <v>25</v>
      </c>
      <c r="D32" s="19" t="s">
        <v>49</v>
      </c>
      <c r="E32" s="18">
        <v>46</v>
      </c>
      <c r="F32" s="18" t="s">
        <v>27</v>
      </c>
      <c r="G32" s="4"/>
      <c r="H32" s="4"/>
      <c r="I32" s="4"/>
      <c r="J32" s="6">
        <v>35000</v>
      </c>
      <c r="K32" s="7">
        <f t="shared" si="1"/>
        <v>1610000</v>
      </c>
      <c r="L32" s="4"/>
    </row>
    <row r="33" spans="1:23" ht="45.75" customHeight="1" x14ac:dyDescent="0.25">
      <c r="A33" s="18">
        <v>11</v>
      </c>
      <c r="B33" s="18"/>
      <c r="C33" s="18" t="s">
        <v>66</v>
      </c>
      <c r="D33" s="18" t="s">
        <v>67</v>
      </c>
      <c r="E33" s="18">
        <v>2</v>
      </c>
      <c r="F33" s="18" t="s">
        <v>34</v>
      </c>
      <c r="G33" s="4"/>
      <c r="H33" s="4"/>
      <c r="I33" s="4"/>
      <c r="J33" s="6">
        <v>170000</v>
      </c>
      <c r="K33" s="7">
        <f t="shared" si="1"/>
        <v>340000</v>
      </c>
      <c r="L33" s="4"/>
    </row>
    <row r="34" spans="1:23" s="2" customFormat="1" x14ac:dyDescent="0.25">
      <c r="A34" s="9" t="str">
        <f>ROMAN(A38)</f>
        <v>IV</v>
      </c>
      <c r="B34" s="25" t="s">
        <v>68</v>
      </c>
      <c r="C34" s="26"/>
      <c r="D34" s="26"/>
      <c r="E34" s="26"/>
      <c r="F34" s="26"/>
      <c r="G34" s="26"/>
      <c r="H34" s="26"/>
      <c r="I34" s="26"/>
      <c r="J34" s="27"/>
      <c r="K34" s="17">
        <f>SUM(K35:K50)</f>
        <v>64249120</v>
      </c>
      <c r="L34" s="21"/>
      <c r="M34"/>
      <c r="N34"/>
      <c r="O34"/>
      <c r="P34"/>
      <c r="Q34"/>
      <c r="R34"/>
      <c r="S34"/>
      <c r="T34"/>
      <c r="U34"/>
      <c r="V34"/>
      <c r="W34"/>
    </row>
    <row r="35" spans="1:23" ht="38.25" customHeight="1" x14ac:dyDescent="0.25">
      <c r="A35" s="4">
        <v>1</v>
      </c>
      <c r="B35" s="4"/>
      <c r="C35" s="4" t="s">
        <v>16</v>
      </c>
      <c r="D35" s="8" t="s">
        <v>69</v>
      </c>
      <c r="E35" s="4">
        <v>1</v>
      </c>
      <c r="F35" s="4" t="s">
        <v>27</v>
      </c>
      <c r="G35" s="4"/>
      <c r="H35" s="4"/>
      <c r="I35" s="4"/>
      <c r="J35" s="6">
        <v>6500000</v>
      </c>
      <c r="K35" s="6">
        <v>6500000</v>
      </c>
      <c r="L35" s="4"/>
    </row>
    <row r="36" spans="1:23" ht="47.25" customHeight="1" x14ac:dyDescent="0.25">
      <c r="A36" s="4">
        <v>2</v>
      </c>
      <c r="B36" s="4"/>
      <c r="C36" s="4" t="s">
        <v>70</v>
      </c>
      <c r="D36" s="4"/>
      <c r="E36" s="4">
        <v>6</v>
      </c>
      <c r="F36" s="4" t="s">
        <v>27</v>
      </c>
      <c r="G36" s="4"/>
      <c r="H36" s="4"/>
      <c r="I36" s="4"/>
      <c r="J36" s="6">
        <v>500000</v>
      </c>
      <c r="K36" s="6">
        <v>3000000</v>
      </c>
      <c r="L36" s="4"/>
    </row>
    <row r="37" spans="1:23" ht="48" customHeight="1" x14ac:dyDescent="0.25">
      <c r="A37" s="4">
        <v>3</v>
      </c>
      <c r="B37" s="4"/>
      <c r="C37" s="4" t="s">
        <v>71</v>
      </c>
      <c r="D37" s="4" t="s">
        <v>72</v>
      </c>
      <c r="E37" s="4">
        <v>1</v>
      </c>
      <c r="F37" s="4" t="s">
        <v>34</v>
      </c>
      <c r="G37" s="4"/>
      <c r="H37" s="4"/>
      <c r="I37" s="4"/>
      <c r="J37" s="6">
        <v>2000000</v>
      </c>
      <c r="K37" s="6">
        <v>2000000</v>
      </c>
      <c r="L37" s="4"/>
    </row>
    <row r="38" spans="1:23" ht="42.75" customHeight="1" x14ac:dyDescent="0.25">
      <c r="A38" s="4">
        <v>4</v>
      </c>
      <c r="B38" s="4"/>
      <c r="C38" s="4" t="s">
        <v>73</v>
      </c>
      <c r="D38" s="8" t="s">
        <v>74</v>
      </c>
      <c r="E38" s="4">
        <v>3.0648</v>
      </c>
      <c r="F38" s="4" t="s">
        <v>13</v>
      </c>
      <c r="G38" s="4">
        <v>1.28</v>
      </c>
      <c r="H38" s="4">
        <v>0.42</v>
      </c>
      <c r="I38" s="5">
        <v>2.4</v>
      </c>
      <c r="J38" s="6">
        <v>1600000</v>
      </c>
      <c r="K38" s="7">
        <f>(J38*E38)</f>
        <v>4903680</v>
      </c>
      <c r="L38" s="4"/>
    </row>
    <row r="39" spans="1:23" ht="46.5" customHeight="1" x14ac:dyDescent="0.25">
      <c r="A39" s="4">
        <v>5</v>
      </c>
      <c r="B39" s="4"/>
      <c r="C39" s="4" t="s">
        <v>75</v>
      </c>
      <c r="D39" s="8" t="s">
        <v>74</v>
      </c>
      <c r="E39" s="4">
        <v>1</v>
      </c>
      <c r="F39" s="4" t="s">
        <v>27</v>
      </c>
      <c r="G39" s="5">
        <v>1.2</v>
      </c>
      <c r="H39" s="5">
        <v>0.6</v>
      </c>
      <c r="I39" s="4">
        <v>0.15</v>
      </c>
      <c r="J39" s="6">
        <v>2500000</v>
      </c>
      <c r="K39" s="6">
        <v>2500000</v>
      </c>
      <c r="L39" s="4"/>
    </row>
    <row r="40" spans="1:23" ht="39" customHeight="1" x14ac:dyDescent="0.25">
      <c r="A40" s="4">
        <v>6</v>
      </c>
      <c r="B40" s="4"/>
      <c r="C40" s="4" t="s">
        <v>76</v>
      </c>
      <c r="D40" s="8" t="s">
        <v>77</v>
      </c>
      <c r="E40" s="4">
        <v>1</v>
      </c>
      <c r="F40" s="4" t="s">
        <v>27</v>
      </c>
      <c r="G40" s="4">
        <v>1.41</v>
      </c>
      <c r="H40" s="5">
        <v>0.6</v>
      </c>
      <c r="I40" s="4">
        <v>0.15</v>
      </c>
      <c r="J40" s="6">
        <v>3000000</v>
      </c>
      <c r="K40" s="6">
        <v>3000000</v>
      </c>
      <c r="L40" s="4"/>
    </row>
    <row r="41" spans="1:23" ht="48" customHeight="1" x14ac:dyDescent="0.25">
      <c r="A41" s="4">
        <v>7</v>
      </c>
      <c r="B41" s="4"/>
      <c r="C41" s="4" t="s">
        <v>78</v>
      </c>
      <c r="D41" s="8" t="s">
        <v>79</v>
      </c>
      <c r="E41" s="4">
        <v>2</v>
      </c>
      <c r="F41" s="4" t="s">
        <v>80</v>
      </c>
      <c r="G41" s="4"/>
      <c r="H41" s="4"/>
      <c r="I41" s="4"/>
      <c r="J41" s="6">
        <v>1500000</v>
      </c>
      <c r="K41" s="6">
        <v>3000000</v>
      </c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48.75" customHeight="1" x14ac:dyDescent="0.25">
      <c r="A42" s="4">
        <v>8</v>
      </c>
      <c r="B42" s="35" t="s">
        <v>83</v>
      </c>
      <c r="C42" s="4" t="s">
        <v>81</v>
      </c>
      <c r="D42" s="8" t="s">
        <v>82</v>
      </c>
      <c r="E42" s="4">
        <f>(G42*I42)</f>
        <v>2.544</v>
      </c>
      <c r="F42" s="4" t="s">
        <v>13</v>
      </c>
      <c r="G42" s="4">
        <v>2.12</v>
      </c>
      <c r="H42" s="4">
        <v>0.55000000000000004</v>
      </c>
      <c r="I42" s="5">
        <v>1.2</v>
      </c>
      <c r="J42" s="6">
        <v>2100000</v>
      </c>
      <c r="K42" s="7">
        <f>(J42*E42)</f>
        <v>5342400</v>
      </c>
      <c r="L42" s="4"/>
    </row>
    <row r="43" spans="1:23" ht="48.75" customHeight="1" x14ac:dyDescent="0.25">
      <c r="A43" s="4">
        <v>9</v>
      </c>
      <c r="B43" s="36"/>
      <c r="C43" s="4" t="s">
        <v>84</v>
      </c>
      <c r="D43" s="8" t="s">
        <v>82</v>
      </c>
      <c r="E43" s="4">
        <f>(G43*I43)</f>
        <v>2.544</v>
      </c>
      <c r="F43" s="4" t="s">
        <v>13</v>
      </c>
      <c r="G43" s="4">
        <v>2.12</v>
      </c>
      <c r="H43" s="4">
        <v>0.55000000000000004</v>
      </c>
      <c r="I43" s="5">
        <v>1.2</v>
      </c>
      <c r="J43" s="6">
        <v>3000000</v>
      </c>
      <c r="K43" s="7">
        <f>(J43*E43)</f>
        <v>7632000</v>
      </c>
      <c r="L43" s="4"/>
    </row>
    <row r="44" spans="1:23" ht="45" x14ac:dyDescent="0.25">
      <c r="A44" s="4">
        <v>10</v>
      </c>
      <c r="B44" s="3" t="s">
        <v>85</v>
      </c>
      <c r="C44" s="4" t="s">
        <v>18</v>
      </c>
      <c r="D44" s="8" t="s">
        <v>86</v>
      </c>
      <c r="E44" s="4">
        <f>(G44*I44)</f>
        <v>4.8</v>
      </c>
      <c r="F44" s="4" t="s">
        <v>13</v>
      </c>
      <c r="G44" s="5">
        <v>2</v>
      </c>
      <c r="H44" s="5">
        <v>0.2</v>
      </c>
      <c r="I44" s="5">
        <v>2.4</v>
      </c>
      <c r="J44" s="6">
        <v>1500000</v>
      </c>
      <c r="K44" s="7">
        <f>(J44*E44)</f>
        <v>7200000</v>
      </c>
      <c r="L44" s="4"/>
    </row>
    <row r="45" spans="1:23" ht="45" x14ac:dyDescent="0.25">
      <c r="A45" s="4">
        <v>11</v>
      </c>
      <c r="B45" s="3"/>
      <c r="C45" s="4" t="s">
        <v>87</v>
      </c>
      <c r="D45" s="8" t="s">
        <v>86</v>
      </c>
      <c r="E45" s="4">
        <v>3.915</v>
      </c>
      <c r="F45" s="4" t="s">
        <v>13</v>
      </c>
      <c r="G45" s="4">
        <v>1.61</v>
      </c>
      <c r="H45" s="5">
        <v>0.2</v>
      </c>
      <c r="I45" s="5">
        <v>1.5</v>
      </c>
      <c r="J45" s="6">
        <v>1200000</v>
      </c>
      <c r="K45" s="7">
        <v>4698000</v>
      </c>
      <c r="L45" s="4"/>
    </row>
    <row r="46" spans="1:23" ht="45" x14ac:dyDescent="0.25">
      <c r="A46" s="4">
        <v>12</v>
      </c>
      <c r="B46" s="3" t="s">
        <v>88</v>
      </c>
      <c r="C46" s="4" t="s">
        <v>89</v>
      </c>
      <c r="D46" s="8" t="s">
        <v>90</v>
      </c>
      <c r="E46" s="4">
        <v>1.5324</v>
      </c>
      <c r="F46" s="4" t="s">
        <v>13</v>
      </c>
      <c r="G46" s="4"/>
      <c r="H46" s="4"/>
      <c r="I46" s="5"/>
      <c r="J46" s="6">
        <v>2100000</v>
      </c>
      <c r="K46" s="7">
        <f>(J46*E46)</f>
        <v>3218040</v>
      </c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45" x14ac:dyDescent="0.25">
      <c r="A47" s="4">
        <v>13</v>
      </c>
      <c r="B47" s="35" t="s">
        <v>91</v>
      </c>
      <c r="C47" s="4" t="s">
        <v>92</v>
      </c>
      <c r="D47" s="8" t="s">
        <v>86</v>
      </c>
      <c r="E47" s="4">
        <v>1</v>
      </c>
      <c r="F47" s="4" t="s">
        <v>27</v>
      </c>
      <c r="G47" s="4"/>
      <c r="H47" s="4"/>
      <c r="I47" s="5"/>
      <c r="J47" s="6">
        <v>6500000</v>
      </c>
      <c r="K47" s="7">
        <f>(J47*E47)</f>
        <v>6500000</v>
      </c>
      <c r="L47" s="4"/>
    </row>
    <row r="48" spans="1:23" ht="45" x14ac:dyDescent="0.25">
      <c r="A48" s="4">
        <v>14</v>
      </c>
      <c r="B48" s="36"/>
      <c r="C48" s="4" t="s">
        <v>70</v>
      </c>
      <c r="D48" s="8" t="s">
        <v>90</v>
      </c>
      <c r="E48" s="4">
        <v>4</v>
      </c>
      <c r="F48" s="4" t="s">
        <v>27</v>
      </c>
      <c r="G48" s="4"/>
      <c r="H48" s="4"/>
      <c r="I48" s="5"/>
      <c r="J48" s="6">
        <v>500000</v>
      </c>
      <c r="K48" s="7">
        <f>(J48*E48)</f>
        <v>2000000</v>
      </c>
      <c r="L48" s="4"/>
    </row>
    <row r="49" spans="1:12" ht="39.75" customHeight="1" x14ac:dyDescent="0.25">
      <c r="A49" s="4">
        <v>15</v>
      </c>
      <c r="B49" s="3"/>
      <c r="C49" s="4" t="s">
        <v>25</v>
      </c>
      <c r="D49" s="8" t="s">
        <v>49</v>
      </c>
      <c r="E49" s="4">
        <v>35</v>
      </c>
      <c r="F49" s="4" t="s">
        <v>27</v>
      </c>
      <c r="G49" s="4"/>
      <c r="H49" s="4"/>
      <c r="I49" s="5"/>
      <c r="J49" s="6">
        <v>35000</v>
      </c>
      <c r="K49" s="7">
        <f>(J49*E49)</f>
        <v>1225000</v>
      </c>
      <c r="L49" s="4"/>
    </row>
    <row r="50" spans="1:12" ht="41.25" customHeight="1" x14ac:dyDescent="0.25">
      <c r="A50" s="4">
        <v>16</v>
      </c>
      <c r="B50" s="3"/>
      <c r="C50" s="4" t="s">
        <v>66</v>
      </c>
      <c r="D50" s="8" t="s">
        <v>67</v>
      </c>
      <c r="E50" s="4">
        <v>9</v>
      </c>
      <c r="F50" s="4" t="s">
        <v>34</v>
      </c>
      <c r="G50" s="4"/>
      <c r="H50" s="4"/>
      <c r="I50" s="5"/>
      <c r="J50" s="6">
        <v>170000</v>
      </c>
      <c r="K50" s="7">
        <f>(J50*E50)</f>
        <v>1530000</v>
      </c>
      <c r="L50" s="4"/>
    </row>
    <row r="51" spans="1:12" s="39" customFormat="1" ht="40.5" customHeight="1" x14ac:dyDescent="0.25">
      <c r="A51" s="22" t="s">
        <v>95</v>
      </c>
      <c r="B51" s="23"/>
      <c r="C51" s="23"/>
      <c r="D51" s="23"/>
      <c r="E51" s="23"/>
      <c r="F51" s="23"/>
      <c r="G51" s="23"/>
      <c r="H51" s="23"/>
      <c r="I51" s="23"/>
      <c r="J51" s="24"/>
      <c r="K51" s="37">
        <f>SUM(K3,K19,K22,K34)</f>
        <v>302867730</v>
      </c>
      <c r="L51" s="38"/>
    </row>
    <row r="54" spans="1:12" ht="44.25" customHeight="1" x14ac:dyDescent="0.25"/>
    <row r="55" spans="1:12" ht="48" customHeight="1" x14ac:dyDescent="0.25"/>
    <row r="56" spans="1:12" s="2" customFormat="1" x14ac:dyDescent="0.25">
      <c r="A56"/>
      <c r="B56"/>
      <c r="C56"/>
      <c r="D56"/>
      <c r="E56"/>
      <c r="F56"/>
      <c r="G56"/>
      <c r="H56"/>
      <c r="I56"/>
      <c r="J56"/>
      <c r="K56"/>
    </row>
    <row r="59" spans="1:12" ht="42.75" customHeight="1" x14ac:dyDescent="0.25"/>
    <row r="60" spans="1:12" ht="51" customHeight="1" x14ac:dyDescent="0.25"/>
    <row r="61" spans="1:12" ht="44.25" customHeight="1" x14ac:dyDescent="0.25"/>
  </sheetData>
  <mergeCells count="17">
    <mergeCell ref="B3:J3"/>
    <mergeCell ref="B19:J19"/>
    <mergeCell ref="B42:B43"/>
    <mergeCell ref="B47:B48"/>
    <mergeCell ref="A1:A2"/>
    <mergeCell ref="C1:C2"/>
    <mergeCell ref="E1:E2"/>
    <mergeCell ref="F1:F2"/>
    <mergeCell ref="J1:J2"/>
    <mergeCell ref="D1:D2"/>
    <mergeCell ref="B1:B2"/>
    <mergeCell ref="K1:K2"/>
    <mergeCell ref="L1:L2"/>
    <mergeCell ref="G1:I1"/>
    <mergeCell ref="B22:J22"/>
    <mergeCell ref="B34:J34"/>
    <mergeCell ref="A51:J51"/>
  </mergeCells>
  <pageMargins left="1" right="0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2024-04-18T21:17:03Z</dcterms:created>
  <dcterms:modified xsi:type="dcterms:W3CDTF">2024-05-06T10:41:04Z</dcterms:modified>
</cp:coreProperties>
</file>